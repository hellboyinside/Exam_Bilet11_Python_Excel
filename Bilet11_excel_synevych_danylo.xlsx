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40EC19A5-9C5E-4F0A-BA4B-342B46C69030}" xr6:coauthVersionLast="47" xr6:coauthVersionMax="47" xr10:uidLastSave="{00000000-0000-0000-0000-000000000000}"/>
  <bookViews>
    <workbookView xWindow="0" yWindow="0" windowWidth="0" windowHeight="0" activeTab="5" xr2:uid="{00000000-000D-0000-FFFF-FFFF00000000}"/>
  </bookViews>
  <sheets>
    <sheet name="Товари" sheetId="1" r:id="rId1"/>
    <sheet name="Фільтр_Кількість_&lt;=30" sheetId="2" r:id="rId2"/>
    <sheet name="Розширений_фільтр" sheetId="3" r:id="rId3"/>
    <sheet name="Сортування_за_датою" sheetId="4" r:id="rId4"/>
    <sheet name="Підсумки" sheetId="5" r:id="rId5"/>
    <sheet name="Виробники_Діаграма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4" l="1"/>
  <c r="G10" i="4"/>
  <c r="G9" i="4"/>
  <c r="G8" i="4"/>
  <c r="G7" i="4"/>
  <c r="G6" i="4"/>
  <c r="G5" i="4"/>
  <c r="G4" i="4"/>
  <c r="G3" i="4"/>
  <c r="G2" i="4"/>
  <c r="G3" i="3"/>
  <c r="G2" i="3"/>
  <c r="G6" i="2"/>
  <c r="G5" i="2"/>
  <c r="G4" i="2"/>
  <c r="G3" i="2"/>
  <c r="G2" i="2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<sst xmlns="http://schemas.openxmlformats.org/spreadsheetml/2006/main" count="100" uniqueCount="23">
  <si>
    <t>№</t>
  </si>
  <si>
    <t>Найменування</t>
  </si>
  <si>
    <t>Виробник</t>
  </si>
  <si>
    <t>Кількість</t>
  </si>
  <si>
    <t>Ціна</t>
  </si>
  <si>
    <t>Дата поставки</t>
  </si>
  <si>
    <t>Вартість</t>
  </si>
  <si>
    <t>Флеш-накопичувач USB</t>
  </si>
  <si>
    <t>Transcend</t>
  </si>
  <si>
    <t>SanDisk</t>
  </si>
  <si>
    <t>Kingston</t>
  </si>
  <si>
    <t>Silicon Power</t>
  </si>
  <si>
    <t>Corsair</t>
  </si>
  <si>
    <t>Карта пам'яті</t>
  </si>
  <si>
    <t>Диск DVD</t>
  </si>
  <si>
    <t>HP</t>
  </si>
  <si>
    <t>Verbatim</t>
  </si>
  <si>
    <t>Середня ціна</t>
  </si>
  <si>
    <t>Загальна вартість</t>
  </si>
  <si>
    <t>Мін. дата</t>
  </si>
  <si>
    <t>Макс. дата</t>
  </si>
  <si>
    <t>Різниця (днів)</t>
  </si>
  <si>
    <t>К-сть товарів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</si>
</sst>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.mm\.yyyy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/>
    </xf>
    <xf numFmtId="165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az-Cyrl-AZ"/>
              <a:t>Розподіл товарів за виробниками</a:t>
            </a:r>
          </a:p>
        </c:rich>
      </c:tx>
      <c:layout>
        <c:manualLayout>
          <c:xMode val="edge"/>
          <c:yMode val="edge"/>
          <c:x val="0.33915092592592594"/>
          <c:y val="0.90311111111111109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Виробники_Діаграма!B1</c:f>
              <c:strCache>
                <c:ptCount val="1"/>
                <c:pt idx="0">
                  <c:v>К-сть товарів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2"/>
              <c:layout>
                <c:manualLayout>
                  <c:x val="-0.18418555555555555"/>
                  <c:y val="-9.7364444444444448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D8-4AC9-B265-BC4998C6E708}"/>
                </c:ext>
              </c:extLst>
            </c:dLbl>
            <c:dLbl>
              <c:idx val="3"/>
              <c:layout>
                <c:manualLayout>
                  <c:x val="-2.286888888888889E-2"/>
                  <c:y val="-0.16022407407407416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D8-4AC9-B265-BC4998C6E70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Виробники_Діаграма!$A$2:$A$8</c:f>
              <c:strCache>
                <c:ptCount val="7"/>
                <c:pt idx="0">
                  <c:v>Corsair</c:v>
                </c:pt>
                <c:pt idx="1">
                  <c:v>HP</c:v>
                </c:pt>
                <c:pt idx="2">
                  <c:v>Kingston</c:v>
                </c:pt>
                <c:pt idx="3">
                  <c:v>SanDisk</c:v>
                </c:pt>
                <c:pt idx="4">
                  <c:v>Silicon Power</c:v>
                </c:pt>
                <c:pt idx="5">
                  <c:v>Transcend</c:v>
                </c:pt>
                <c:pt idx="6">
                  <c:v>Verbatim</c:v>
                </c:pt>
              </c:strCache>
            </c:strRef>
          </c:cat>
          <c:val>
            <c:numRef>
              <c:f>Виробники_Діаграма!$B$2:$B$8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C-4801-8F21-8BBD1CE8705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1764944444444465"/>
          <c:y val="0.32930148148148153"/>
          <c:w val="0.16823944444444444"/>
          <c:h val="0.59539666666666669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/>
  </sheetViews>
  <sheetFormatPr defaultRowHeight="15"/>
  <cols>
    <col min="1" max="1" width="4" customWidth="1"/>
    <col min="2" max="2" width="24" customWidth="1"/>
    <col min="3" max="3" width="16" customWidth="1"/>
    <col min="4" max="4" width="10" customWidth="1"/>
    <col min="5" max="5" width="8" customWidth="1"/>
    <col min="6" max="6" width="14" customWidth="1"/>
    <col min="7" max="7" width="12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 t="s">
        <v>7</v>
      </c>
      <c r="C2" s="4" t="s">
        <v>8</v>
      </c>
      <c r="D2" s="3">
        <v>26</v>
      </c>
      <c r="E2" s="3">
        <v>243</v>
      </c>
      <c r="F2" s="5">
        <v>41946</v>
      </c>
      <c r="G2" s="3">
        <f>D2*E2</f>
        <v>6318</v>
      </c>
    </row>
    <row r="3" spans="1:7">
      <c r="A3" s="3">
        <v>2</v>
      </c>
      <c r="B3" s="4" t="s">
        <v>7</v>
      </c>
      <c r="C3" s="4" t="s">
        <v>9</v>
      </c>
      <c r="D3" s="3">
        <v>43</v>
      </c>
      <c r="E3" s="3">
        <v>176</v>
      </c>
      <c r="F3" s="5">
        <v>41869</v>
      </c>
      <c r="G3" s="3">
        <f>D3*E3</f>
        <v>7568</v>
      </c>
    </row>
    <row r="4" spans="1:7">
      <c r="A4" s="3">
        <v>3</v>
      </c>
      <c r="B4" s="4" t="s">
        <v>7</v>
      </c>
      <c r="C4" s="4" t="s">
        <v>10</v>
      </c>
      <c r="D4" s="3">
        <v>40</v>
      </c>
      <c r="E4" s="3">
        <v>208</v>
      </c>
      <c r="F4" s="5">
        <v>41859</v>
      </c>
      <c r="G4" s="3">
        <f>D4*E4</f>
        <v>8320</v>
      </c>
    </row>
    <row r="5" spans="1:7">
      <c r="A5" s="3">
        <v>4</v>
      </c>
      <c r="B5" s="4" t="s">
        <v>7</v>
      </c>
      <c r="C5" s="4" t="s">
        <v>11</v>
      </c>
      <c r="D5" s="3">
        <v>45</v>
      </c>
      <c r="E5" s="3">
        <v>112</v>
      </c>
      <c r="F5" s="5">
        <v>41897</v>
      </c>
      <c r="G5" s="3">
        <f>D5*E5</f>
        <v>5040</v>
      </c>
    </row>
    <row r="6" spans="1:7">
      <c r="A6" s="3">
        <v>5</v>
      </c>
      <c r="B6" s="4" t="s">
        <v>7</v>
      </c>
      <c r="C6" s="4" t="s">
        <v>12</v>
      </c>
      <c r="D6" s="3">
        <v>37</v>
      </c>
      <c r="E6" s="3">
        <v>144</v>
      </c>
      <c r="F6" s="5">
        <v>41857</v>
      </c>
      <c r="G6" s="3">
        <f>D6*E6</f>
        <v>5328</v>
      </c>
    </row>
    <row r="7" spans="1:7">
      <c r="A7" s="3">
        <v>6</v>
      </c>
      <c r="B7" s="4" t="s">
        <v>13</v>
      </c>
      <c r="C7" s="4" t="s">
        <v>9</v>
      </c>
      <c r="D7" s="3">
        <v>21</v>
      </c>
      <c r="E7" s="3">
        <v>253</v>
      </c>
      <c r="F7" s="5">
        <v>41895</v>
      </c>
      <c r="G7" s="3">
        <f>D7*E7</f>
        <v>5313</v>
      </c>
    </row>
    <row r="8" spans="1:7">
      <c r="A8" s="3">
        <v>7</v>
      </c>
      <c r="B8" s="4" t="s">
        <v>13</v>
      </c>
      <c r="C8" s="4" t="s">
        <v>11</v>
      </c>
      <c r="D8" s="3">
        <v>28</v>
      </c>
      <c r="E8" s="3">
        <v>198</v>
      </c>
      <c r="F8" s="5">
        <v>41968</v>
      </c>
      <c r="G8" s="3">
        <f>D8*E8</f>
        <v>5544</v>
      </c>
    </row>
    <row r="9" spans="1:7">
      <c r="A9" s="3">
        <v>8</v>
      </c>
      <c r="B9" s="4" t="s">
        <v>13</v>
      </c>
      <c r="C9" s="4" t="s">
        <v>10</v>
      </c>
      <c r="D9" s="3">
        <v>42</v>
      </c>
      <c r="E9" s="3">
        <v>206</v>
      </c>
      <c r="F9" s="5">
        <v>41872</v>
      </c>
      <c r="G9" s="3">
        <f>D9*E9</f>
        <v>8652</v>
      </c>
    </row>
    <row r="10" spans="1:7">
      <c r="A10" s="3">
        <v>9</v>
      </c>
      <c r="B10" s="4" t="s">
        <v>14</v>
      </c>
      <c r="C10" s="4" t="s">
        <v>15</v>
      </c>
      <c r="D10" s="3">
        <v>12</v>
      </c>
      <c r="E10" s="3">
        <v>34</v>
      </c>
      <c r="F10" s="5">
        <v>41884</v>
      </c>
      <c r="G10" s="3">
        <f>D10*E10</f>
        <v>408</v>
      </c>
    </row>
    <row r="11" spans="1:7">
      <c r="A11" s="3">
        <v>10</v>
      </c>
      <c r="B11" s="4" t="s">
        <v>14</v>
      </c>
      <c r="C11" s="4" t="s">
        <v>16</v>
      </c>
      <c r="D11" s="3">
        <v>15</v>
      </c>
      <c r="E11" s="3">
        <v>58</v>
      </c>
      <c r="F11" s="5">
        <v>41929</v>
      </c>
      <c r="G11" s="3">
        <f>D11*E11</f>
        <v>870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F4" sqref="F4"/>
    </sheetView>
  </sheetViews>
  <sheetFormatPr defaultRowHeight="15"/>
  <cols>
    <col min="6" max="6" width="10.85546875" bestFit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>
        <v>1</v>
      </c>
      <c r="B2" t="s">
        <v>7</v>
      </c>
      <c r="C2" t="s">
        <v>8</v>
      </c>
      <c r="D2">
        <v>26</v>
      </c>
      <c r="E2">
        <v>243</v>
      </c>
      <c r="F2" s="7">
        <v>41946</v>
      </c>
      <c r="G2" s="8">
        <f>D2*E2</f>
        <v>6318</v>
      </c>
    </row>
    <row r="3" spans="1:7">
      <c r="A3">
        <v>6</v>
      </c>
      <c r="B3" t="s">
        <v>13</v>
      </c>
      <c r="C3" t="s">
        <v>9</v>
      </c>
      <c r="D3">
        <v>21</v>
      </c>
      <c r="E3">
        <v>253</v>
      </c>
      <c r="F3" s="7">
        <v>41895</v>
      </c>
      <c r="G3" s="8">
        <f>D7*E7</f>
        <v>0</v>
      </c>
    </row>
    <row r="4" spans="1:7">
      <c r="A4">
        <v>7</v>
      </c>
      <c r="B4" t="s">
        <v>13</v>
      </c>
      <c r="C4" t="s">
        <v>11</v>
      </c>
      <c r="D4">
        <v>28</v>
      </c>
      <c r="E4">
        <v>198</v>
      </c>
      <c r="F4" s="7">
        <v>41968</v>
      </c>
      <c r="G4" s="8">
        <f>D8*E8</f>
        <v>0</v>
      </c>
    </row>
    <row r="5" spans="1:7">
      <c r="A5">
        <v>9</v>
      </c>
      <c r="B5" t="s">
        <v>14</v>
      </c>
      <c r="C5" t="s">
        <v>15</v>
      </c>
      <c r="D5">
        <v>12</v>
      </c>
      <c r="E5">
        <v>34</v>
      </c>
      <c r="F5" s="7">
        <v>41884</v>
      </c>
      <c r="G5" s="8">
        <f>D10*E10</f>
        <v>0</v>
      </c>
    </row>
    <row r="6" spans="1:7">
      <c r="A6">
        <v>10</v>
      </c>
      <c r="B6" t="s">
        <v>14</v>
      </c>
      <c r="C6" t="s">
        <v>16</v>
      </c>
      <c r="D6">
        <v>15</v>
      </c>
      <c r="E6">
        <v>58</v>
      </c>
      <c r="F6" s="7">
        <v>41929</v>
      </c>
      <c r="G6" s="8">
        <f>D11*E11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workbookViewId="0">
      <selection activeCell="F6" sqref="F6"/>
    </sheetView>
  </sheetViews>
  <sheetFormatPr defaultRowHeight="15"/>
  <cols>
    <col min="6" max="6" width="10.85546875" bestFit="1" customWidth="1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I1" s="1" t="s">
        <v>17</v>
      </c>
    </row>
    <row r="2" spans="1:9">
      <c r="A2">
        <v>1</v>
      </c>
      <c r="B2" t="s">
        <v>7</v>
      </c>
      <c r="C2" t="s">
        <v>8</v>
      </c>
      <c r="D2">
        <v>26</v>
      </c>
      <c r="E2">
        <v>243</v>
      </c>
      <c r="F2" s="7">
        <v>41946</v>
      </c>
      <c r="G2" s="8">
        <f>D2*E2</f>
        <v>6318</v>
      </c>
      <c r="I2" s="9">
        <v>163.19999999999999</v>
      </c>
    </row>
    <row r="3" spans="1:9">
      <c r="A3">
        <v>7</v>
      </c>
      <c r="B3" t="s">
        <v>13</v>
      </c>
      <c r="C3" t="s">
        <v>11</v>
      </c>
      <c r="D3">
        <v>28</v>
      </c>
      <c r="E3">
        <v>198</v>
      </c>
      <c r="F3" s="7">
        <v>41968</v>
      </c>
      <c r="G3" s="8">
        <f>D8*E8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selection activeCell="I8" sqref="I8"/>
    </sheetView>
  </sheetViews>
  <sheetFormatPr defaultRowHeight="15"/>
  <cols>
    <col min="6" max="6" width="10.85546875" bestFit="1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>
        <v>5</v>
      </c>
      <c r="B2" t="s">
        <v>7</v>
      </c>
      <c r="C2" t="s">
        <v>12</v>
      </c>
      <c r="D2">
        <v>37</v>
      </c>
      <c r="E2">
        <v>144</v>
      </c>
      <c r="F2" s="7">
        <v>41857</v>
      </c>
      <c r="G2" s="8">
        <f>D6*E6</f>
        <v>408</v>
      </c>
    </row>
    <row r="3" spans="1:7">
      <c r="A3">
        <v>3</v>
      </c>
      <c r="B3" t="s">
        <v>7</v>
      </c>
      <c r="C3" t="s">
        <v>10</v>
      </c>
      <c r="D3">
        <v>40</v>
      </c>
      <c r="E3">
        <v>208</v>
      </c>
      <c r="F3" s="7">
        <v>41859</v>
      </c>
      <c r="G3" s="8">
        <f>D4*E4</f>
        <v>7568</v>
      </c>
    </row>
    <row r="4" spans="1:7">
      <c r="A4">
        <v>2</v>
      </c>
      <c r="B4" t="s">
        <v>7</v>
      </c>
      <c r="C4" t="s">
        <v>9</v>
      </c>
      <c r="D4">
        <v>43</v>
      </c>
      <c r="E4">
        <v>176</v>
      </c>
      <c r="F4" s="7">
        <v>41869</v>
      </c>
      <c r="G4" s="8">
        <f>D3*E3</f>
        <v>8320</v>
      </c>
    </row>
    <row r="5" spans="1:7">
      <c r="A5">
        <v>8</v>
      </c>
      <c r="B5" t="s">
        <v>13</v>
      </c>
      <c r="C5" t="s">
        <v>10</v>
      </c>
      <c r="D5">
        <v>42</v>
      </c>
      <c r="E5">
        <v>206</v>
      </c>
      <c r="F5" s="7">
        <v>41872</v>
      </c>
      <c r="G5" s="8">
        <f>D9*E9</f>
        <v>870</v>
      </c>
    </row>
    <row r="6" spans="1:7">
      <c r="A6">
        <v>9</v>
      </c>
      <c r="B6" t="s">
        <v>14</v>
      </c>
      <c r="C6" t="s">
        <v>15</v>
      </c>
      <c r="D6">
        <v>12</v>
      </c>
      <c r="E6">
        <v>34</v>
      </c>
      <c r="F6" s="7">
        <v>41884</v>
      </c>
      <c r="G6" s="8">
        <f>D10*E10</f>
        <v>6318</v>
      </c>
    </row>
    <row r="7" spans="1:7">
      <c r="A7">
        <v>6</v>
      </c>
      <c r="B7" t="s">
        <v>13</v>
      </c>
      <c r="C7" t="s">
        <v>9</v>
      </c>
      <c r="D7">
        <v>21</v>
      </c>
      <c r="E7">
        <v>253</v>
      </c>
      <c r="F7" s="7">
        <v>41895</v>
      </c>
      <c r="G7" s="8">
        <f>D7*E7</f>
        <v>5313</v>
      </c>
    </row>
    <row r="8" spans="1:7">
      <c r="A8">
        <v>4</v>
      </c>
      <c r="B8" t="s">
        <v>7</v>
      </c>
      <c r="C8" t="s">
        <v>11</v>
      </c>
      <c r="D8">
        <v>45</v>
      </c>
      <c r="E8">
        <v>112</v>
      </c>
      <c r="F8" s="7">
        <v>41897</v>
      </c>
      <c r="G8" s="8">
        <f>D5*E5</f>
        <v>8652</v>
      </c>
    </row>
    <row r="9" spans="1:7">
      <c r="A9">
        <v>10</v>
      </c>
      <c r="B9" t="s">
        <v>14</v>
      </c>
      <c r="C9" t="s">
        <v>16</v>
      </c>
      <c r="D9">
        <v>15</v>
      </c>
      <c r="E9">
        <v>58</v>
      </c>
      <c r="F9" s="7">
        <v>41929</v>
      </c>
      <c r="G9" s="8">
        <f>D11*E11</f>
        <v>5544</v>
      </c>
    </row>
    <row r="10" spans="1:7">
      <c r="A10">
        <v>1</v>
      </c>
      <c r="B10" t="s">
        <v>7</v>
      </c>
      <c r="C10" t="s">
        <v>8</v>
      </c>
      <c r="D10">
        <v>26</v>
      </c>
      <c r="E10">
        <v>243</v>
      </c>
      <c r="F10" s="7">
        <v>41946</v>
      </c>
      <c r="G10" s="8">
        <f>D2*E2</f>
        <v>5328</v>
      </c>
    </row>
    <row r="11" spans="1:7">
      <c r="A11">
        <v>7</v>
      </c>
      <c r="B11" t="s">
        <v>13</v>
      </c>
      <c r="C11" t="s">
        <v>11</v>
      </c>
      <c r="D11">
        <v>28</v>
      </c>
      <c r="E11">
        <v>198</v>
      </c>
      <c r="F11" s="7">
        <v>41968</v>
      </c>
      <c r="G11" s="8">
        <f>D8*E8</f>
        <v>5040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workbookViewId="0">
      <selection activeCell="D7" sqref="D7"/>
    </sheetView>
  </sheetViews>
  <sheetFormatPr defaultRowHeight="15"/>
  <cols>
    <col min="4" max="5" width="10.85546875" bestFit="1" customWidth="1"/>
  </cols>
  <sheetData>
    <row r="1" spans="1:6">
      <c r="A1" s="6" t="s">
        <v>1</v>
      </c>
      <c r="B1" s="6" t="s">
        <v>18</v>
      </c>
      <c r="D1" s="6" t="s">
        <v>19</v>
      </c>
      <c r="E1" s="6" t="s">
        <v>20</v>
      </c>
      <c r="F1" s="6" t="s">
        <v>21</v>
      </c>
    </row>
    <row r="2" spans="1:6">
      <c r="A2" t="s">
        <v>14</v>
      </c>
      <c r="B2" s="8">
        <v>1278</v>
      </c>
      <c r="D2" s="7">
        <v>41857</v>
      </c>
      <c r="E2" s="7">
        <v>41968</v>
      </c>
      <c r="F2" s="8">
        <v>111</v>
      </c>
    </row>
    <row r="3" spans="1:6">
      <c r="A3" t="s">
        <v>13</v>
      </c>
      <c r="B3" s="8">
        <v>19509</v>
      </c>
    </row>
    <row r="4" spans="1:6">
      <c r="A4" t="s">
        <v>7</v>
      </c>
      <c r="B4" s="8">
        <v>32574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tabSelected="1" workbookViewId="0">
      <selection activeCell="I17" sqref="I17"/>
    </sheetView>
  </sheetViews>
  <sheetFormatPr defaultRowHeight="15"/>
  <sheetData>
    <row r="1" spans="1:2">
      <c r="A1" s="6" t="s">
        <v>2</v>
      </c>
      <c r="B1" s="6" t="s">
        <v>22</v>
      </c>
    </row>
    <row r="2" spans="1:2">
      <c r="A2" t="s">
        <v>12</v>
      </c>
      <c r="B2">
        <v>1</v>
      </c>
    </row>
    <row r="3" spans="1:2">
      <c r="A3" t="s">
        <v>15</v>
      </c>
      <c r="B3">
        <v>1</v>
      </c>
    </row>
    <row r="4" spans="1:2">
      <c r="A4" t="s">
        <v>10</v>
      </c>
      <c r="B4">
        <v>2</v>
      </c>
    </row>
    <row r="5" spans="1:2">
      <c r="A5" t="s">
        <v>9</v>
      </c>
      <c r="B5">
        <v>2</v>
      </c>
    </row>
    <row r="6" spans="1:2">
      <c r="A6" t="s">
        <v>11</v>
      </c>
      <c r="B6">
        <v>2</v>
      </c>
    </row>
    <row r="7" spans="1:2">
      <c r="A7" t="s">
        <v>8</v>
      </c>
      <c r="B7">
        <v>1</v>
      </c>
    </row>
    <row r="8" spans="1:2">
      <c r="A8" t="s">
        <v>16</v>
      </c>
      <c r="B8"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2025-12-25T20:28:11Z</dcterms:created>
  <dcterms:modified xsi:type="dcterms:W3CDTF">2025-12-25T21:37:27Z</dcterms:modified>
  <cp:category/>
  <cp:contentStatus/>
</cp:coreProperties>
</file>